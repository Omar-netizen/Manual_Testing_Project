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0DCE1D1-C311-4512-B496-60760E04AE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Bug Report" sheetId="2" r:id="rId2"/>
    <sheet name="Test Summary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1" l="1"/>
  <c r="H36" i="1"/>
  <c r="F36" i="1"/>
  <c r="D36" i="1"/>
  <c r="B36" i="1"/>
</calcChain>
</file>

<file path=xl/sharedStrings.xml><?xml version="1.0" encoding="utf-8"?>
<sst xmlns="http://schemas.openxmlformats.org/spreadsheetml/2006/main" count="357" uniqueCount="229">
  <si>
    <t>OpenCart E-Commerce – Manual Test Case Document</t>
  </si>
  <si>
    <t>TC ID</t>
  </si>
  <si>
    <t>Module</t>
  </si>
  <si>
    <t>Test Scenario</t>
  </si>
  <si>
    <t>Test Case Description</t>
  </si>
  <si>
    <t>Pre-conditions</t>
  </si>
  <si>
    <t>Test Steps</t>
  </si>
  <si>
    <t>Expected Result</t>
  </si>
  <si>
    <t>Actual Result</t>
  </si>
  <si>
    <t>Status</t>
  </si>
  <si>
    <t>Priority</t>
  </si>
  <si>
    <t>Test Type</t>
  </si>
  <si>
    <t>Remarks</t>
  </si>
  <si>
    <t>▶  User Registration</t>
  </si>
  <si>
    <t>TC_REG_001</t>
  </si>
  <si>
    <t>User Registration</t>
  </si>
  <si>
    <t>Verify successful registration with valid data</t>
  </si>
  <si>
    <t>New user registers with all mandatory fields filled</t>
  </si>
  <si>
    <t>User is on Registration page</t>
  </si>
  <si>
    <t>1. Navigate to opencart demo
2. Click 'My Account' &gt; 'Register'
3. Enter First Name, Last Name
4. Enter valid Email
5. Enter Password (min 4 chars)
6. Agree to Privacy Policy
7. Click 'Continue'</t>
  </si>
  <si>
    <t>User is registered and redirected to Account Success page</t>
  </si>
  <si>
    <t>Pass</t>
  </si>
  <si>
    <t>High</t>
  </si>
  <si>
    <t>Functional</t>
  </si>
  <si>
    <t>TC_REG_002</t>
  </si>
  <si>
    <t>Verify registration fails with existing email</t>
  </si>
  <si>
    <t>System rejects duplicate email registration</t>
  </si>
  <si>
    <t>An account already exists with test email</t>
  </si>
  <si>
    <t>1. Go to Register page
2. Enter already-registered email
3. Fill other valid fields
4. Click 'Continue'</t>
  </si>
  <si>
    <t>Error message: 'Warning: E-Mail Address is already registered!'</t>
  </si>
  <si>
    <t>Negative</t>
  </si>
  <si>
    <t>TC_REG_003</t>
  </si>
  <si>
    <t>Verify mandatory field validation</t>
  </si>
  <si>
    <t>System shows errors when mandatory fields are empty</t>
  </si>
  <si>
    <t>1. Go to Register page
2. Leave all fields blank
3. Click 'Continue'</t>
  </si>
  <si>
    <t>Validation errors displayed for all mandatory fields</t>
  </si>
  <si>
    <t>Medium</t>
  </si>
  <si>
    <t>TC_REG_004</t>
  </si>
  <si>
    <t>Verify password mismatch validation</t>
  </si>
  <si>
    <t>System rejects when Password ≠ Confirm Password</t>
  </si>
  <si>
    <t>1. Enter valid details
2. Enter different values in Password &amp; Confirm Password
3. Click 'Continue'</t>
  </si>
  <si>
    <t>Error: 'Password confirmation does not match password!'</t>
  </si>
  <si>
    <t>▶  Login</t>
  </si>
  <si>
    <t>TC_LOG_001</t>
  </si>
  <si>
    <t>Login</t>
  </si>
  <si>
    <t>Verify login with valid credentials</t>
  </si>
  <si>
    <t>Registered user logs in successfully</t>
  </si>
  <si>
    <t>User has a registered account</t>
  </si>
  <si>
    <t>1. Click 'My Account' &gt; 'Login'
2. Enter valid Email &amp; Password
3. Click 'Login'</t>
  </si>
  <si>
    <t>User is redirected to My Account dashboard</t>
  </si>
  <si>
    <t>TC_LOG_002</t>
  </si>
  <si>
    <t>Verify login with invalid password</t>
  </si>
  <si>
    <t>System rejects wrong password</t>
  </si>
  <si>
    <t>User is on Login page</t>
  </si>
  <si>
    <t>1. Enter valid email
2. Enter incorrect password
3. Click 'Login'</t>
  </si>
  <si>
    <t>Warning: 'No match for E-Mail Address and/or Password'</t>
  </si>
  <si>
    <t>TC_LOG_003</t>
  </si>
  <si>
    <t>Verify login with blank credentials</t>
  </si>
  <si>
    <t>System shows validation on empty login form</t>
  </si>
  <si>
    <t>1. Leave Email and Password blank
2. Click 'Login'</t>
  </si>
  <si>
    <t>Validation errors shown for both fields</t>
  </si>
  <si>
    <t>TC_LOG_004</t>
  </si>
  <si>
    <t>Verify 'Forgot Password' functionality</t>
  </si>
  <si>
    <t>User receives reset email on valid registered email</t>
  </si>
  <si>
    <t>1. Click 'Forgotten Password'
2. Enter registered email
3. Click 'Continue'</t>
  </si>
  <si>
    <t>Success message: 'An email with a confirmation link has been sent'</t>
  </si>
  <si>
    <t>▶  Search</t>
  </si>
  <si>
    <t>TC_SRC_001</t>
  </si>
  <si>
    <t>Search</t>
  </si>
  <si>
    <t>Verify search with valid product keyword</t>
  </si>
  <si>
    <t>Search returns relevant product results</t>
  </si>
  <si>
    <t>User is on Home page</t>
  </si>
  <si>
    <t>1. Enter 'MacBook' in search bar
2. Click Search icon</t>
  </si>
  <si>
    <t>Products containing 'MacBook' are displayed</t>
  </si>
  <si>
    <t>TC_SRC_002</t>
  </si>
  <si>
    <t>Verify search with invalid/random keyword</t>
  </si>
  <si>
    <t>Search returns no results message</t>
  </si>
  <si>
    <t>1. Enter 'xyzabc123' in search bar
2. Click Search icon</t>
  </si>
  <si>
    <t>'There is no product that matches the search criteria' displayed</t>
  </si>
  <si>
    <t>TC_SRC_003</t>
  </si>
  <si>
    <t>Verify search with empty input</t>
  </si>
  <si>
    <t>System handles blank search gracefully</t>
  </si>
  <si>
    <t>1. Leave search bar empty
2. Click Search icon</t>
  </si>
  <si>
    <t>Message: 'Search criteria does not match' or results page shown</t>
  </si>
  <si>
    <t>Low</t>
  </si>
  <si>
    <t>▶  Shopping Cart</t>
  </si>
  <si>
    <t>TC_CART_001</t>
  </si>
  <si>
    <t>Shopping Cart</t>
  </si>
  <si>
    <t>Verify adding a product to cart</t>
  </si>
  <si>
    <t>Product is added to cart successfully</t>
  </si>
  <si>
    <t>User is on any Product page</t>
  </si>
  <si>
    <t>1. Navigate to a product (e.g. iPhone)
2. Click 'Add to Cart'</t>
  </si>
  <si>
    <t>Success message: 'Success: You have added [Product] to your shopping cart!'</t>
  </si>
  <si>
    <t>TC_CART_002</t>
  </si>
  <si>
    <t>Verify updating product quantity in cart</t>
  </si>
  <si>
    <t>Cart quantity updates correctly</t>
  </si>
  <si>
    <t>At least one product is in cart</t>
  </si>
  <si>
    <t>1. Go to Shopping Cart
2. Change quantity to 3
3. Click 'Update'</t>
  </si>
  <si>
    <t>Cart quantity and total price update correctly</t>
  </si>
  <si>
    <t>TC_CART_003</t>
  </si>
  <si>
    <t>Verify removing a product from cart</t>
  </si>
  <si>
    <t>Product is removed from cart</t>
  </si>
  <si>
    <t>1. Go to Shopping Cart
2. Click 'Remove' (X icon) next to product</t>
  </si>
  <si>
    <t>Product removed; cart shows 'Your shopping cart is empty!'</t>
  </si>
  <si>
    <t>TC_CART_004</t>
  </si>
  <si>
    <t>Verify cart persists after logout and login</t>
  </si>
  <si>
    <t>Cart items retained across sessions</t>
  </si>
  <si>
    <t>User logged in with items in cart</t>
  </si>
  <si>
    <t>1. Add product to cart
2. Logout
3. Login again
4. Check cart</t>
  </si>
  <si>
    <t>Previously added products still present in cart</t>
  </si>
  <si>
    <t>Blocked</t>
  </si>
  <si>
    <t>Needs session testing</t>
  </si>
  <si>
    <t>▶  Checkout</t>
  </si>
  <si>
    <t>TC_CHK_001</t>
  </si>
  <si>
    <t>Checkout</t>
  </si>
  <si>
    <t>Verify checkout as registered user</t>
  </si>
  <si>
    <t>Logged-in user completes checkout successfully</t>
  </si>
  <si>
    <t>User logged in; cart has items</t>
  </si>
  <si>
    <t>1. Go to Cart &gt; Checkout
2. Confirm Billing Details
3. Choose shipping method
4. Choose payment (COD)
5. Confirm Order</t>
  </si>
  <si>
    <t>Order placed; redirected to Order Confirmation page with Order ID</t>
  </si>
  <si>
    <t>TC_CHK_002</t>
  </si>
  <si>
    <t>Verify checkout as guest user</t>
  </si>
  <si>
    <t>Guest user can checkout without registration</t>
  </si>
  <si>
    <t>Cart has items; user not logged in</t>
  </si>
  <si>
    <t>1. Go to Cart &gt; Checkout
2. Select 'Guest Checkout'
3. Fill all required fields
4. Complete order</t>
  </si>
  <si>
    <t>Order placed successfully as guest</t>
  </si>
  <si>
    <t>TC_CHK_003</t>
  </si>
  <si>
    <t>Verify checkout with empty cart</t>
  </si>
  <si>
    <t>System prevents checkout with no items</t>
  </si>
  <si>
    <t>Cart is empty</t>
  </si>
  <si>
    <t>1. Navigate directly to Checkout URL with empty cart</t>
  </si>
  <si>
    <t>Redirected back to cart page with empty cart message</t>
  </si>
  <si>
    <t>▶  Product Page</t>
  </si>
  <si>
    <t>TC_PRD_001</t>
  </si>
  <si>
    <t>Product Page</t>
  </si>
  <si>
    <t>Verify product details are displayed correctly</t>
  </si>
  <si>
    <t>Product name, price, description visible</t>
  </si>
  <si>
    <t>User is on any product listing</t>
  </si>
  <si>
    <t>1. Click on any product
2. Observe product detail page</t>
  </si>
  <si>
    <t>Product name, images, price, description, Add to Cart button all visible</t>
  </si>
  <si>
    <t>TC_PRD_002</t>
  </si>
  <si>
    <t>Verify product image zoom functionality</t>
  </si>
  <si>
    <t>Image zooms on hover/click</t>
  </si>
  <si>
    <t>User is on Product Detail page</t>
  </si>
  <si>
    <t>1. Hover over product image</t>
  </si>
  <si>
    <t>Image zooms in and shows enlarged view</t>
  </si>
  <si>
    <t>Fail</t>
  </si>
  <si>
    <t>UI</t>
  </si>
  <si>
    <t>Bug: zoom not working on Chrome v120</t>
  </si>
  <si>
    <t>TC_PRD_003</t>
  </si>
  <si>
    <t>Verify 'Write a Review' functionality</t>
  </si>
  <si>
    <t>User can submit a product review</t>
  </si>
  <si>
    <t>User logged in; on Product page</t>
  </si>
  <si>
    <t>1. Click 'Write a Review'
2. Enter Name, Review text, Rating
3. Click 'Continue'</t>
  </si>
  <si>
    <t>Review submitted successfully; confirmation message shown</t>
  </si>
  <si>
    <t>▶  Navigation</t>
  </si>
  <si>
    <t>TC_UI_001</t>
  </si>
  <si>
    <t>Navigation</t>
  </si>
  <si>
    <t>Verify all top navigation links work</t>
  </si>
  <si>
    <t>Navigation links redirect to correct pages</t>
  </si>
  <si>
    <t>1. Click each top-nav link (Desktops, Laptops, etc.)
2. Observe page loaded</t>
  </si>
  <si>
    <t>Each link navigates to its corresponding category page</t>
  </si>
  <si>
    <t>TC_UI_002</t>
  </si>
  <si>
    <t>Verify footer links are functional</t>
  </si>
  <si>
    <t>All footer links navigate correctly</t>
  </si>
  <si>
    <t>User is on any page</t>
  </si>
  <si>
    <t>1. Scroll to footer
2. Click each link (About Us, Contact, etc.)</t>
  </si>
  <si>
    <t>All footer links open the correct pages</t>
  </si>
  <si>
    <t>TC_UI_003</t>
  </si>
  <si>
    <t>Verify website logo redirects to Home</t>
  </si>
  <si>
    <t>Logo click returns user to Home page</t>
  </si>
  <si>
    <t>User is on any inner page</t>
  </si>
  <si>
    <t>1. Click the OpenCart logo in header</t>
  </si>
  <si>
    <t>User is redirected to Home page</t>
  </si>
  <si>
    <t>Summary</t>
  </si>
  <si>
    <t>Total TCs</t>
  </si>
  <si>
    <t>Passed</t>
  </si>
  <si>
    <t>Failed</t>
  </si>
  <si>
    <t>Pass %</t>
  </si>
  <si>
    <t>OpenCart – Bug Report Log</t>
  </si>
  <si>
    <t>Bug ID</t>
  </si>
  <si>
    <t>TC Ref</t>
  </si>
  <si>
    <t>Steps to Reproduce</t>
  </si>
  <si>
    <t>Severity</t>
  </si>
  <si>
    <t>Reporter</t>
  </si>
  <si>
    <t>BUG_001</t>
  </si>
  <si>
    <t>Product image zoom not working on Chrome v120</t>
  </si>
  <si>
    <t>1. Open any product page on Chrome v120
2. Hover over product image</t>
  </si>
  <si>
    <t>Image should zoom in on hover</t>
  </si>
  <si>
    <t>No zoom effect; image remains static</t>
  </si>
  <si>
    <t>Minor</t>
  </si>
  <si>
    <t>Open</t>
  </si>
  <si>
    <t>Tester</t>
  </si>
  <si>
    <t>BUG_002</t>
  </si>
  <si>
    <t>No rate limiting on registration attempts</t>
  </si>
  <si>
    <t>1. Attempt to register with same email 10+ times rapidly</t>
  </si>
  <si>
    <t>System should block repeated attempts or show CAPTCHA</t>
  </si>
  <si>
    <t>System allows unlimited registration attempts with no throttling</t>
  </si>
  <si>
    <t>Major</t>
  </si>
  <si>
    <t>BUG_003</t>
  </si>
  <si>
    <t>Order confirmation email not received</t>
  </si>
  <si>
    <t>1. Complete checkout as registered user
2. Check registered email inbox</t>
  </si>
  <si>
    <t>Order confirmation email should arrive within 2 minutes</t>
  </si>
  <si>
    <t>No email received after 10 minutes</t>
  </si>
  <si>
    <t>In Progress</t>
  </si>
  <si>
    <t>Test Summary Report – OpenCart Manual Testing</t>
  </si>
  <si>
    <t>Project Name</t>
  </si>
  <si>
    <t>OpenCart Demo</t>
  </si>
  <si>
    <t>Version</t>
  </si>
  <si>
    <t>3.x</t>
  </si>
  <si>
    <t>Tester Name</t>
  </si>
  <si>
    <t>Test Environment</t>
  </si>
  <si>
    <t>Windows 11 / Chrome</t>
  </si>
  <si>
    <t>Test Start Date</t>
  </si>
  <si>
    <t>Test End Date</t>
  </si>
  <si>
    <t>Total Test Cases</t>
  </si>
  <si>
    <t>22</t>
  </si>
  <si>
    <t>20</t>
  </si>
  <si>
    <t>1</t>
  </si>
  <si>
    <t>~95%</t>
  </si>
  <si>
    <t>Overall Status</t>
  </si>
  <si>
    <t>PASS</t>
  </si>
  <si>
    <t>Module-wise Test Summary</t>
  </si>
  <si>
    <t>Total</t>
  </si>
  <si>
    <t>100%</t>
  </si>
  <si>
    <t>75%</t>
  </si>
  <si>
    <t>67%</t>
  </si>
  <si>
    <t>Navigation &amp; UI</t>
  </si>
  <si>
    <t>Md. Omar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</si>
</sst>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9"/>
      <color rgb="FFFFFFFF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 indent="1"/>
    </xf>
    <xf numFmtId="0" fontId="7" fillId="4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left" indent="1"/>
    </xf>
    <xf numFmtId="0" fontId="7" fillId="6" borderId="1" xfId="0" applyFont="1" applyFill="1" applyBorder="1" applyAlignment="1">
      <alignment horizontal="center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14" fontId="7" fillId="4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pane ySplit="2" topLeftCell="A3" activePane="bottomLeft" state="frozen"/>
      <selection pane="bottomLeft" sqref="A1:L1"/>
    </sheetView>
  </sheetViews>
  <sheetFormatPr defaultRowHeight="14.4" x14ac:dyDescent="0.3"/>
  <cols>
    <col min="1" max="1" width="10" customWidth="1"/>
    <col min="2" max="2" width="16" customWidth="1"/>
    <col min="3" max="3" width="28" customWidth="1"/>
    <col min="4" max="4" width="38" customWidth="1"/>
    <col min="5" max="5" width="28" customWidth="1"/>
    <col min="6" max="6" width="52" customWidth="1"/>
    <col min="7" max="8" width="38" customWidth="1"/>
    <col min="9" max="10" width="10" customWidth="1"/>
    <col min="11" max="11" width="14" customWidth="1"/>
    <col min="12" max="12" width="20" customWidth="1"/>
  </cols>
  <sheetData>
    <row r="1" spans="1:12" ht="31.95" customHeight="1" x14ac:dyDescent="0.3">
      <c r="A1" s="2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2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9.95" customHeight="1" x14ac:dyDescent="0.3">
      <c r="A3" s="19" t="s">
        <v>13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72" customHeight="1" x14ac:dyDescent="0.3">
      <c r="A4" s="2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/>
      <c r="I4" s="4" t="s">
        <v>21</v>
      </c>
      <c r="J4" s="2" t="s">
        <v>22</v>
      </c>
      <c r="K4" s="2" t="s">
        <v>23</v>
      </c>
      <c r="L4" s="3"/>
    </row>
    <row r="5" spans="1:12" ht="72" customHeight="1" x14ac:dyDescent="0.3">
      <c r="A5" s="5" t="s">
        <v>24</v>
      </c>
      <c r="B5" s="6" t="s">
        <v>15</v>
      </c>
      <c r="C5" s="6" t="s">
        <v>25</v>
      </c>
      <c r="D5" s="6" t="s">
        <v>26</v>
      </c>
      <c r="E5" s="6" t="s">
        <v>27</v>
      </c>
      <c r="F5" s="6" t="s">
        <v>28</v>
      </c>
      <c r="G5" s="6" t="s">
        <v>29</v>
      </c>
      <c r="H5" s="6"/>
      <c r="I5" s="4" t="s">
        <v>21</v>
      </c>
      <c r="J5" s="5" t="s">
        <v>22</v>
      </c>
      <c r="K5" s="5" t="s">
        <v>30</v>
      </c>
      <c r="L5" s="6"/>
    </row>
    <row r="6" spans="1:12" ht="72" customHeight="1" x14ac:dyDescent="0.3">
      <c r="A6" s="2" t="s">
        <v>31</v>
      </c>
      <c r="B6" s="3" t="s">
        <v>15</v>
      </c>
      <c r="C6" s="3" t="s">
        <v>32</v>
      </c>
      <c r="D6" s="3" t="s">
        <v>33</v>
      </c>
      <c r="E6" s="3" t="s">
        <v>18</v>
      </c>
      <c r="F6" s="3" t="s">
        <v>34</v>
      </c>
      <c r="G6" s="3" t="s">
        <v>35</v>
      </c>
      <c r="H6" s="3"/>
      <c r="I6" s="4" t="s">
        <v>21</v>
      </c>
      <c r="J6" s="2" t="s">
        <v>36</v>
      </c>
      <c r="K6" s="2" t="s">
        <v>30</v>
      </c>
      <c r="L6" s="3"/>
    </row>
    <row r="7" spans="1:12" ht="72" customHeight="1" x14ac:dyDescent="0.3">
      <c r="A7" s="5" t="s">
        <v>37</v>
      </c>
      <c r="B7" s="6" t="s">
        <v>15</v>
      </c>
      <c r="C7" s="6" t="s">
        <v>38</v>
      </c>
      <c r="D7" s="6" t="s">
        <v>39</v>
      </c>
      <c r="E7" s="6" t="s">
        <v>18</v>
      </c>
      <c r="F7" s="6" t="s">
        <v>40</v>
      </c>
      <c r="G7" s="6" t="s">
        <v>41</v>
      </c>
      <c r="H7" s="6"/>
      <c r="I7" s="4" t="s">
        <v>21</v>
      </c>
      <c r="J7" s="5" t="s">
        <v>36</v>
      </c>
      <c r="K7" s="5" t="s">
        <v>30</v>
      </c>
      <c r="L7" s="6"/>
    </row>
    <row r="8" spans="1:12" ht="19.95" customHeight="1" x14ac:dyDescent="0.3">
      <c r="A8" s="19" t="s">
        <v>42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ht="72" customHeight="1" x14ac:dyDescent="0.3">
      <c r="A9" s="5" t="s">
        <v>43</v>
      </c>
      <c r="B9" s="6" t="s">
        <v>44</v>
      </c>
      <c r="C9" s="6" t="s">
        <v>45</v>
      </c>
      <c r="D9" s="6" t="s">
        <v>46</v>
      </c>
      <c r="E9" s="6" t="s">
        <v>47</v>
      </c>
      <c r="F9" s="6" t="s">
        <v>48</v>
      </c>
      <c r="G9" s="6" t="s">
        <v>49</v>
      </c>
      <c r="H9" s="6"/>
      <c r="I9" s="4" t="s">
        <v>21</v>
      </c>
      <c r="J9" s="5" t="s">
        <v>22</v>
      </c>
      <c r="K9" s="5" t="s">
        <v>23</v>
      </c>
      <c r="L9" s="6"/>
    </row>
    <row r="10" spans="1:12" ht="72" customHeight="1" x14ac:dyDescent="0.3">
      <c r="A10" s="2" t="s">
        <v>50</v>
      </c>
      <c r="B10" s="3" t="s">
        <v>44</v>
      </c>
      <c r="C10" s="3" t="s">
        <v>51</v>
      </c>
      <c r="D10" s="3" t="s">
        <v>52</v>
      </c>
      <c r="E10" s="3" t="s">
        <v>53</v>
      </c>
      <c r="F10" s="3" t="s">
        <v>54</v>
      </c>
      <c r="G10" s="3" t="s">
        <v>55</v>
      </c>
      <c r="H10" s="3"/>
      <c r="I10" s="4" t="s">
        <v>21</v>
      </c>
      <c r="J10" s="2" t="s">
        <v>22</v>
      </c>
      <c r="K10" s="2" t="s">
        <v>30</v>
      </c>
      <c r="L10" s="3"/>
    </row>
    <row r="11" spans="1:12" ht="72" customHeight="1" x14ac:dyDescent="0.3">
      <c r="A11" s="5" t="s">
        <v>56</v>
      </c>
      <c r="B11" s="6" t="s">
        <v>44</v>
      </c>
      <c r="C11" s="6" t="s">
        <v>57</v>
      </c>
      <c r="D11" s="6" t="s">
        <v>58</v>
      </c>
      <c r="E11" s="6" t="s">
        <v>53</v>
      </c>
      <c r="F11" s="6" t="s">
        <v>59</v>
      </c>
      <c r="G11" s="6" t="s">
        <v>60</v>
      </c>
      <c r="H11" s="6"/>
      <c r="I11" s="4" t="s">
        <v>21</v>
      </c>
      <c r="J11" s="5" t="s">
        <v>36</v>
      </c>
      <c r="K11" s="5" t="s">
        <v>30</v>
      </c>
      <c r="L11" s="6"/>
    </row>
    <row r="12" spans="1:12" ht="72" customHeight="1" x14ac:dyDescent="0.3">
      <c r="A12" s="2" t="s">
        <v>61</v>
      </c>
      <c r="B12" s="3" t="s">
        <v>44</v>
      </c>
      <c r="C12" s="3" t="s">
        <v>62</v>
      </c>
      <c r="D12" s="3" t="s">
        <v>63</v>
      </c>
      <c r="E12" s="3" t="s">
        <v>47</v>
      </c>
      <c r="F12" s="3" t="s">
        <v>64</v>
      </c>
      <c r="G12" s="3" t="s">
        <v>65</v>
      </c>
      <c r="H12" s="3"/>
      <c r="I12" s="4" t="s">
        <v>21</v>
      </c>
      <c r="J12" s="2" t="s">
        <v>36</v>
      </c>
      <c r="K12" s="2" t="s">
        <v>23</v>
      </c>
      <c r="L12" s="3"/>
    </row>
    <row r="13" spans="1:12" ht="19.95" customHeight="1" x14ac:dyDescent="0.3">
      <c r="A13" s="19" t="s">
        <v>66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2" ht="72" customHeight="1" x14ac:dyDescent="0.3">
      <c r="A14" s="2" t="s">
        <v>67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72</v>
      </c>
      <c r="G14" s="3" t="s">
        <v>73</v>
      </c>
      <c r="H14" s="3"/>
      <c r="I14" s="4" t="s">
        <v>21</v>
      </c>
      <c r="J14" s="2" t="s">
        <v>22</v>
      </c>
      <c r="K14" s="2" t="s">
        <v>23</v>
      </c>
      <c r="L14" s="3"/>
    </row>
    <row r="15" spans="1:12" ht="72" customHeight="1" x14ac:dyDescent="0.3">
      <c r="A15" s="5" t="s">
        <v>74</v>
      </c>
      <c r="B15" s="6" t="s">
        <v>68</v>
      </c>
      <c r="C15" s="6" t="s">
        <v>75</v>
      </c>
      <c r="D15" s="6" t="s">
        <v>76</v>
      </c>
      <c r="E15" s="6" t="s">
        <v>71</v>
      </c>
      <c r="F15" s="6" t="s">
        <v>77</v>
      </c>
      <c r="G15" s="6" t="s">
        <v>78</v>
      </c>
      <c r="H15" s="6"/>
      <c r="I15" s="4" t="s">
        <v>21</v>
      </c>
      <c r="J15" s="5" t="s">
        <v>36</v>
      </c>
      <c r="K15" s="5" t="s">
        <v>30</v>
      </c>
      <c r="L15" s="6"/>
    </row>
    <row r="16" spans="1:12" ht="72" customHeight="1" x14ac:dyDescent="0.3">
      <c r="A16" s="2" t="s">
        <v>79</v>
      </c>
      <c r="B16" s="3" t="s">
        <v>68</v>
      </c>
      <c r="C16" s="3" t="s">
        <v>80</v>
      </c>
      <c r="D16" s="3" t="s">
        <v>81</v>
      </c>
      <c r="E16" s="3" t="s">
        <v>71</v>
      </c>
      <c r="F16" s="3" t="s">
        <v>82</v>
      </c>
      <c r="G16" s="3" t="s">
        <v>83</v>
      </c>
      <c r="H16" s="3"/>
      <c r="I16" s="4" t="s">
        <v>21</v>
      </c>
      <c r="J16" s="2" t="s">
        <v>84</v>
      </c>
      <c r="K16" s="2" t="s">
        <v>30</v>
      </c>
      <c r="L16" s="3"/>
    </row>
    <row r="17" spans="1:12" ht="19.95" customHeight="1" x14ac:dyDescent="0.3">
      <c r="A17" s="19" t="s">
        <v>85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 ht="72" customHeight="1" x14ac:dyDescent="0.3">
      <c r="A18" s="2" t="s">
        <v>86</v>
      </c>
      <c r="B18" s="3" t="s">
        <v>87</v>
      </c>
      <c r="C18" s="3" t="s">
        <v>88</v>
      </c>
      <c r="D18" s="3" t="s">
        <v>89</v>
      </c>
      <c r="E18" s="3" t="s">
        <v>90</v>
      </c>
      <c r="F18" s="3" t="s">
        <v>91</v>
      </c>
      <c r="G18" s="3" t="s">
        <v>92</v>
      </c>
      <c r="H18" s="3"/>
      <c r="I18" s="4" t="s">
        <v>21</v>
      </c>
      <c r="J18" s="2" t="s">
        <v>22</v>
      </c>
      <c r="K18" s="2" t="s">
        <v>23</v>
      </c>
      <c r="L18" s="3"/>
    </row>
    <row r="19" spans="1:12" ht="72" customHeight="1" x14ac:dyDescent="0.3">
      <c r="A19" s="5" t="s">
        <v>93</v>
      </c>
      <c r="B19" s="6" t="s">
        <v>87</v>
      </c>
      <c r="C19" s="6" t="s">
        <v>94</v>
      </c>
      <c r="D19" s="6" t="s">
        <v>95</v>
      </c>
      <c r="E19" s="6" t="s">
        <v>96</v>
      </c>
      <c r="F19" s="6" t="s">
        <v>97</v>
      </c>
      <c r="G19" s="6" t="s">
        <v>98</v>
      </c>
      <c r="H19" s="6"/>
      <c r="I19" s="4" t="s">
        <v>21</v>
      </c>
      <c r="J19" s="5" t="s">
        <v>22</v>
      </c>
      <c r="K19" s="5" t="s">
        <v>23</v>
      </c>
      <c r="L19" s="6"/>
    </row>
    <row r="20" spans="1:12" ht="72" customHeight="1" x14ac:dyDescent="0.3">
      <c r="A20" s="2" t="s">
        <v>99</v>
      </c>
      <c r="B20" s="3" t="s">
        <v>87</v>
      </c>
      <c r="C20" s="3" t="s">
        <v>100</v>
      </c>
      <c r="D20" s="3" t="s">
        <v>101</v>
      </c>
      <c r="E20" s="3" t="s">
        <v>96</v>
      </c>
      <c r="F20" s="3" t="s">
        <v>102</v>
      </c>
      <c r="G20" s="3" t="s">
        <v>103</v>
      </c>
      <c r="H20" s="3"/>
      <c r="I20" s="4" t="s">
        <v>21</v>
      </c>
      <c r="J20" s="2" t="s">
        <v>36</v>
      </c>
      <c r="K20" s="2" t="s">
        <v>23</v>
      </c>
      <c r="L20" s="3"/>
    </row>
    <row r="21" spans="1:12" ht="72" customHeight="1" x14ac:dyDescent="0.3">
      <c r="A21" s="5" t="s">
        <v>104</v>
      </c>
      <c r="B21" s="6" t="s">
        <v>87</v>
      </c>
      <c r="C21" s="6" t="s">
        <v>105</v>
      </c>
      <c r="D21" s="6" t="s">
        <v>106</v>
      </c>
      <c r="E21" s="6" t="s">
        <v>107</v>
      </c>
      <c r="F21" s="6" t="s">
        <v>108</v>
      </c>
      <c r="G21" s="6" t="s">
        <v>109</v>
      </c>
      <c r="H21" s="6"/>
      <c r="I21" s="7" t="s">
        <v>110</v>
      </c>
      <c r="J21" s="5" t="s">
        <v>84</v>
      </c>
      <c r="K21" s="5" t="s">
        <v>23</v>
      </c>
      <c r="L21" s="6" t="s">
        <v>111</v>
      </c>
    </row>
    <row r="22" spans="1:12" ht="19.95" customHeight="1" x14ac:dyDescent="0.3">
      <c r="A22" s="19" t="s">
        <v>112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12" ht="72" customHeight="1" x14ac:dyDescent="0.3">
      <c r="A23" s="5" t="s">
        <v>113</v>
      </c>
      <c r="B23" s="6" t="s">
        <v>114</v>
      </c>
      <c r="C23" s="6" t="s">
        <v>115</v>
      </c>
      <c r="D23" s="6" t="s">
        <v>116</v>
      </c>
      <c r="E23" s="6" t="s">
        <v>117</v>
      </c>
      <c r="F23" s="6" t="s">
        <v>118</v>
      </c>
      <c r="G23" s="6" t="s">
        <v>119</v>
      </c>
      <c r="H23" s="6"/>
      <c r="I23" s="4" t="s">
        <v>21</v>
      </c>
      <c r="J23" s="5" t="s">
        <v>22</v>
      </c>
      <c r="K23" s="5" t="s">
        <v>23</v>
      </c>
      <c r="L23" s="6"/>
    </row>
    <row r="24" spans="1:12" ht="72" customHeight="1" x14ac:dyDescent="0.3">
      <c r="A24" s="2" t="s">
        <v>120</v>
      </c>
      <c r="B24" s="3" t="s">
        <v>114</v>
      </c>
      <c r="C24" s="3" t="s">
        <v>121</v>
      </c>
      <c r="D24" s="3" t="s">
        <v>122</v>
      </c>
      <c r="E24" s="3" t="s">
        <v>123</v>
      </c>
      <c r="F24" s="3" t="s">
        <v>124</v>
      </c>
      <c r="G24" s="3" t="s">
        <v>125</v>
      </c>
      <c r="H24" s="3"/>
      <c r="I24" s="4" t="s">
        <v>21</v>
      </c>
      <c r="J24" s="2" t="s">
        <v>22</v>
      </c>
      <c r="K24" s="2" t="s">
        <v>23</v>
      </c>
      <c r="L24" s="3"/>
    </row>
    <row r="25" spans="1:12" ht="72" customHeight="1" x14ac:dyDescent="0.3">
      <c r="A25" s="5" t="s">
        <v>126</v>
      </c>
      <c r="B25" s="6" t="s">
        <v>114</v>
      </c>
      <c r="C25" s="6" t="s">
        <v>127</v>
      </c>
      <c r="D25" s="6" t="s">
        <v>128</v>
      </c>
      <c r="E25" s="6" t="s">
        <v>129</v>
      </c>
      <c r="F25" s="6" t="s">
        <v>130</v>
      </c>
      <c r="G25" s="6" t="s">
        <v>131</v>
      </c>
      <c r="H25" s="6"/>
      <c r="I25" s="4" t="s">
        <v>21</v>
      </c>
      <c r="J25" s="5" t="s">
        <v>36</v>
      </c>
      <c r="K25" s="5" t="s">
        <v>30</v>
      </c>
      <c r="L25" s="6"/>
    </row>
    <row r="26" spans="1:12" ht="19.95" customHeight="1" x14ac:dyDescent="0.3">
      <c r="A26" s="19" t="s">
        <v>132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2" ht="72" customHeight="1" x14ac:dyDescent="0.3">
      <c r="A27" s="5" t="s">
        <v>133</v>
      </c>
      <c r="B27" s="6" t="s">
        <v>134</v>
      </c>
      <c r="C27" s="6" t="s">
        <v>135</v>
      </c>
      <c r="D27" s="6" t="s">
        <v>136</v>
      </c>
      <c r="E27" s="6" t="s">
        <v>137</v>
      </c>
      <c r="F27" s="6" t="s">
        <v>138</v>
      </c>
      <c r="G27" s="6" t="s">
        <v>139</v>
      </c>
      <c r="H27" s="6"/>
      <c r="I27" s="4" t="s">
        <v>21</v>
      </c>
      <c r="J27" s="5" t="s">
        <v>22</v>
      </c>
      <c r="K27" s="5" t="s">
        <v>23</v>
      </c>
      <c r="L27" s="6"/>
    </row>
    <row r="28" spans="1:12" ht="72" customHeight="1" x14ac:dyDescent="0.3">
      <c r="A28" s="2" t="s">
        <v>140</v>
      </c>
      <c r="B28" s="3" t="s">
        <v>134</v>
      </c>
      <c r="C28" s="3" t="s">
        <v>141</v>
      </c>
      <c r="D28" s="3" t="s">
        <v>142</v>
      </c>
      <c r="E28" s="3" t="s">
        <v>143</v>
      </c>
      <c r="F28" s="3" t="s">
        <v>144</v>
      </c>
      <c r="G28" s="3" t="s">
        <v>145</v>
      </c>
      <c r="H28" s="3"/>
      <c r="I28" s="8" t="s">
        <v>146</v>
      </c>
      <c r="J28" s="2" t="s">
        <v>84</v>
      </c>
      <c r="K28" s="2" t="s">
        <v>147</v>
      </c>
      <c r="L28" s="3" t="s">
        <v>148</v>
      </c>
    </row>
    <row r="29" spans="1:12" ht="72" customHeight="1" x14ac:dyDescent="0.3">
      <c r="A29" s="5" t="s">
        <v>149</v>
      </c>
      <c r="B29" s="6" t="s">
        <v>134</v>
      </c>
      <c r="C29" s="6" t="s">
        <v>150</v>
      </c>
      <c r="D29" s="6" t="s">
        <v>151</v>
      </c>
      <c r="E29" s="6" t="s">
        <v>152</v>
      </c>
      <c r="F29" s="6" t="s">
        <v>153</v>
      </c>
      <c r="G29" s="6" t="s">
        <v>154</v>
      </c>
      <c r="H29" s="6"/>
      <c r="I29" s="4" t="s">
        <v>21</v>
      </c>
      <c r="J29" s="5" t="s">
        <v>36</v>
      </c>
      <c r="K29" s="5" t="s">
        <v>23</v>
      </c>
      <c r="L29" s="6"/>
    </row>
    <row r="30" spans="1:12" ht="19.95" customHeight="1" x14ac:dyDescent="0.3">
      <c r="A30" s="19" t="s">
        <v>155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spans="1:12" ht="72" customHeight="1" x14ac:dyDescent="0.3">
      <c r="A31" s="5" t="s">
        <v>156</v>
      </c>
      <c r="B31" s="6" t="s">
        <v>157</v>
      </c>
      <c r="C31" s="6" t="s">
        <v>158</v>
      </c>
      <c r="D31" s="6" t="s">
        <v>159</v>
      </c>
      <c r="E31" s="6" t="s">
        <v>71</v>
      </c>
      <c r="F31" s="6" t="s">
        <v>160</v>
      </c>
      <c r="G31" s="6" t="s">
        <v>161</v>
      </c>
      <c r="H31" s="6"/>
      <c r="I31" s="4" t="s">
        <v>21</v>
      </c>
      <c r="J31" s="5" t="s">
        <v>22</v>
      </c>
      <c r="K31" s="5" t="s">
        <v>147</v>
      </c>
      <c r="L31" s="6"/>
    </row>
    <row r="32" spans="1:12" ht="72" customHeight="1" x14ac:dyDescent="0.3">
      <c r="A32" s="2" t="s">
        <v>162</v>
      </c>
      <c r="B32" s="3" t="s">
        <v>157</v>
      </c>
      <c r="C32" s="3" t="s">
        <v>163</v>
      </c>
      <c r="D32" s="3" t="s">
        <v>164</v>
      </c>
      <c r="E32" s="3" t="s">
        <v>165</v>
      </c>
      <c r="F32" s="3" t="s">
        <v>166</v>
      </c>
      <c r="G32" s="3" t="s">
        <v>167</v>
      </c>
      <c r="H32" s="3"/>
      <c r="I32" s="4" t="s">
        <v>21</v>
      </c>
      <c r="J32" s="2" t="s">
        <v>84</v>
      </c>
      <c r="K32" s="2" t="s">
        <v>147</v>
      </c>
      <c r="L32" s="3"/>
    </row>
    <row r="33" spans="1:12" ht="72" customHeight="1" x14ac:dyDescent="0.3">
      <c r="A33" s="5" t="s">
        <v>168</v>
      </c>
      <c r="B33" s="6" t="s">
        <v>157</v>
      </c>
      <c r="C33" s="6" t="s">
        <v>169</v>
      </c>
      <c r="D33" s="6" t="s">
        <v>170</v>
      </c>
      <c r="E33" s="6" t="s">
        <v>171</v>
      </c>
      <c r="F33" s="6" t="s">
        <v>172</v>
      </c>
      <c r="G33" s="6" t="s">
        <v>173</v>
      </c>
      <c r="H33" s="6"/>
      <c r="I33" s="4" t="s">
        <v>21</v>
      </c>
      <c r="J33" s="5" t="s">
        <v>36</v>
      </c>
      <c r="K33" s="5" t="s">
        <v>147</v>
      </c>
      <c r="L33" s="6"/>
    </row>
    <row r="35" spans="1:12" x14ac:dyDescent="0.3">
      <c r="A35" s="22" t="s">
        <v>174</v>
      </c>
      <c r="B35" s="20"/>
      <c r="C35" s="20"/>
    </row>
    <row r="36" spans="1:12" x14ac:dyDescent="0.3">
      <c r="A36" s="9" t="s">
        <v>175</v>
      </c>
      <c r="B36" s="10">
        <f>COUNTA(I3:I33)-COUNTIF(I3:I33,"▶*")</f>
        <v>24</v>
      </c>
      <c r="C36" s="9" t="s">
        <v>176</v>
      </c>
      <c r="D36" s="10">
        <f>COUNTIF(I3:I33,"Pass")</f>
        <v>22</v>
      </c>
      <c r="E36" s="9" t="s">
        <v>177</v>
      </c>
      <c r="F36" s="10">
        <f>COUNTIF(I3:I33,"Fail")</f>
        <v>1</v>
      </c>
      <c r="G36" s="9" t="s">
        <v>110</v>
      </c>
      <c r="H36" s="10">
        <f>COUNTIF(I3:I33,"Blocked")</f>
        <v>1</v>
      </c>
      <c r="I36" s="9" t="s">
        <v>178</v>
      </c>
      <c r="J36" s="11">
        <f>IFERROR(COUNTIF(I3:I33,"Pass")/(31-COUNTIF(A3:A33,""))*100,0)</f>
        <v>70.967741935483872</v>
      </c>
    </row>
  </sheetData>
  <mergeCells count="9">
    <mergeCell ref="A35:C35"/>
    <mergeCell ref="A3:L3"/>
    <mergeCell ref="A26:L26"/>
    <mergeCell ref="A30:L30"/>
    <mergeCell ref="A1:L1"/>
    <mergeCell ref="A13:L13"/>
    <mergeCell ref="A8:L8"/>
    <mergeCell ref="A22:L22"/>
    <mergeCell ref="A17:L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pane ySplit="2" topLeftCell="A3" activePane="bottomLeft" state="frozen"/>
      <selection pane="bottomLeft" sqref="A1:K1"/>
    </sheetView>
  </sheetViews>
  <sheetFormatPr defaultRowHeight="14.4" x14ac:dyDescent="0.3"/>
  <cols>
    <col min="1" max="2" width="12" customWidth="1"/>
    <col min="3" max="3" width="16" customWidth="1"/>
    <col min="4" max="4" width="34" customWidth="1"/>
    <col min="5" max="5" width="44" customWidth="1"/>
    <col min="6" max="7" width="34" customWidth="1"/>
    <col min="8" max="8" width="12" customWidth="1"/>
    <col min="9" max="9" width="10" customWidth="1"/>
    <col min="10" max="10" width="12" customWidth="1"/>
    <col min="11" max="11" width="16" customWidth="1"/>
  </cols>
  <sheetData>
    <row r="1" spans="1:11" ht="31.95" customHeight="1" x14ac:dyDescent="0.3">
      <c r="A1" s="21" t="s">
        <v>179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24" customHeight="1" x14ac:dyDescent="0.3">
      <c r="A2" s="1" t="s">
        <v>180</v>
      </c>
      <c r="B2" s="1" t="s">
        <v>181</v>
      </c>
      <c r="C2" s="1" t="s">
        <v>2</v>
      </c>
      <c r="D2" s="1" t="s">
        <v>174</v>
      </c>
      <c r="E2" s="1" t="s">
        <v>182</v>
      </c>
      <c r="F2" s="1" t="s">
        <v>7</v>
      </c>
      <c r="G2" s="1" t="s">
        <v>8</v>
      </c>
      <c r="H2" s="1" t="s">
        <v>183</v>
      </c>
      <c r="I2" s="1" t="s">
        <v>10</v>
      </c>
      <c r="J2" s="1" t="s">
        <v>9</v>
      </c>
      <c r="K2" s="1" t="s">
        <v>184</v>
      </c>
    </row>
    <row r="3" spans="1:11" ht="60" customHeight="1" x14ac:dyDescent="0.3">
      <c r="A3" s="5" t="s">
        <v>185</v>
      </c>
      <c r="B3" s="6" t="s">
        <v>140</v>
      </c>
      <c r="C3" s="6" t="s">
        <v>134</v>
      </c>
      <c r="D3" s="6" t="s">
        <v>186</v>
      </c>
      <c r="E3" s="6" t="s">
        <v>187</v>
      </c>
      <c r="F3" s="6" t="s">
        <v>188</v>
      </c>
      <c r="G3" s="6" t="s">
        <v>189</v>
      </c>
      <c r="H3" s="4" t="s">
        <v>190</v>
      </c>
      <c r="I3" s="5" t="s">
        <v>84</v>
      </c>
      <c r="J3" s="5" t="s">
        <v>191</v>
      </c>
      <c r="K3" s="6" t="s">
        <v>192</v>
      </c>
    </row>
    <row r="4" spans="1:11" ht="60" customHeight="1" x14ac:dyDescent="0.3">
      <c r="A4" s="2" t="s">
        <v>193</v>
      </c>
      <c r="B4" s="3" t="s">
        <v>24</v>
      </c>
      <c r="C4" s="3" t="s">
        <v>15</v>
      </c>
      <c r="D4" s="3" t="s">
        <v>194</v>
      </c>
      <c r="E4" s="3" t="s">
        <v>195</v>
      </c>
      <c r="F4" s="3" t="s">
        <v>196</v>
      </c>
      <c r="G4" s="3" t="s">
        <v>197</v>
      </c>
      <c r="H4" s="7" t="s">
        <v>198</v>
      </c>
      <c r="I4" s="2" t="s">
        <v>22</v>
      </c>
      <c r="J4" s="2" t="s">
        <v>191</v>
      </c>
      <c r="K4" s="3" t="s">
        <v>192</v>
      </c>
    </row>
    <row r="5" spans="1:11" ht="60" customHeight="1" x14ac:dyDescent="0.3">
      <c r="A5" s="5" t="s">
        <v>199</v>
      </c>
      <c r="B5" s="6" t="s">
        <v>113</v>
      </c>
      <c r="C5" s="6" t="s">
        <v>114</v>
      </c>
      <c r="D5" s="6" t="s">
        <v>200</v>
      </c>
      <c r="E5" s="6" t="s">
        <v>201</v>
      </c>
      <c r="F5" s="6" t="s">
        <v>202</v>
      </c>
      <c r="G5" s="6" t="s">
        <v>203</v>
      </c>
      <c r="H5" s="7" t="s">
        <v>198</v>
      </c>
      <c r="I5" s="5" t="s">
        <v>22</v>
      </c>
      <c r="J5" s="5" t="s">
        <v>204</v>
      </c>
      <c r="K5" s="6" t="s">
        <v>192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>
      <selection activeCell="B10" sqref="B10"/>
    </sheetView>
  </sheetViews>
  <sheetFormatPr defaultRowHeight="14.4" x14ac:dyDescent="0.3"/>
  <cols>
    <col min="1" max="1" width="22" customWidth="1"/>
    <col min="2" max="2" width="24" customWidth="1"/>
    <col min="3" max="3" width="22" customWidth="1"/>
    <col min="4" max="4" width="24" customWidth="1"/>
    <col min="5" max="5" width="22" customWidth="1"/>
    <col min="6" max="6" width="24" customWidth="1"/>
  </cols>
  <sheetData>
    <row r="1" spans="1:6" ht="31.95" customHeight="1" x14ac:dyDescent="0.3">
      <c r="A1" s="21" t="s">
        <v>205</v>
      </c>
      <c r="B1" s="20"/>
      <c r="C1" s="20"/>
      <c r="D1" s="20"/>
      <c r="E1" s="20"/>
      <c r="F1" s="20"/>
    </row>
    <row r="3" spans="1:6" ht="22.05" customHeight="1" x14ac:dyDescent="0.3">
      <c r="A3" s="12" t="s">
        <v>206</v>
      </c>
      <c r="B3" s="13" t="s">
        <v>207</v>
      </c>
    </row>
    <row r="4" spans="1:6" ht="22.05" customHeight="1" x14ac:dyDescent="0.3">
      <c r="A4" s="12" t="s">
        <v>208</v>
      </c>
      <c r="B4" s="13" t="s">
        <v>209</v>
      </c>
    </row>
    <row r="5" spans="1:6" ht="22.05" customHeight="1" x14ac:dyDescent="0.3">
      <c r="A5" s="12" t="s">
        <v>210</v>
      </c>
      <c r="B5" s="13" t="s">
        <v>228</v>
      </c>
    </row>
    <row r="6" spans="1:6" ht="22.05" customHeight="1" x14ac:dyDescent="0.3">
      <c r="A6" s="12" t="s">
        <v>211</v>
      </c>
      <c r="B6" s="13" t="s">
        <v>212</v>
      </c>
    </row>
    <row r="7" spans="1:6" ht="22.05" customHeight="1" x14ac:dyDescent="0.3">
      <c r="A7" s="12" t="s">
        <v>213</v>
      </c>
      <c r="B7" s="24">
        <v>46084</v>
      </c>
    </row>
    <row r="8" spans="1:6" ht="22.05" customHeight="1" x14ac:dyDescent="0.3">
      <c r="A8" s="12" t="s">
        <v>214</v>
      </c>
      <c r="B8" s="24">
        <v>46084</v>
      </c>
    </row>
    <row r="9" spans="1:6" ht="22.05" customHeight="1" x14ac:dyDescent="0.3">
      <c r="A9" s="12" t="s">
        <v>215</v>
      </c>
      <c r="B9" s="13" t="s">
        <v>216</v>
      </c>
    </row>
    <row r="10" spans="1:6" ht="22.05" customHeight="1" x14ac:dyDescent="0.3">
      <c r="A10" s="12" t="s">
        <v>176</v>
      </c>
      <c r="B10" s="13" t="s">
        <v>217</v>
      </c>
    </row>
    <row r="11" spans="1:6" ht="22.05" customHeight="1" x14ac:dyDescent="0.3">
      <c r="A11" s="12" t="s">
        <v>177</v>
      </c>
      <c r="B11" s="13" t="s">
        <v>218</v>
      </c>
    </row>
    <row r="12" spans="1:6" ht="22.05" customHeight="1" x14ac:dyDescent="0.3">
      <c r="A12" s="12" t="s">
        <v>110</v>
      </c>
      <c r="B12" s="13" t="s">
        <v>218</v>
      </c>
    </row>
    <row r="13" spans="1:6" ht="22.05" customHeight="1" x14ac:dyDescent="0.3">
      <c r="A13" s="12" t="s">
        <v>178</v>
      </c>
      <c r="B13" s="13" t="s">
        <v>219</v>
      </c>
    </row>
    <row r="14" spans="1:6" ht="22.05" customHeight="1" x14ac:dyDescent="0.3">
      <c r="A14" s="12" t="s">
        <v>220</v>
      </c>
      <c r="B14" s="13" t="s">
        <v>221</v>
      </c>
    </row>
    <row r="18" spans="1:6" ht="24" customHeight="1" x14ac:dyDescent="0.3">
      <c r="A18" s="23" t="s">
        <v>222</v>
      </c>
      <c r="B18" s="20"/>
      <c r="C18" s="20"/>
      <c r="D18" s="20"/>
      <c r="E18" s="20"/>
      <c r="F18" s="20"/>
    </row>
    <row r="19" spans="1:6" x14ac:dyDescent="0.3">
      <c r="A19" s="14" t="s">
        <v>2</v>
      </c>
      <c r="B19" s="14" t="s">
        <v>223</v>
      </c>
      <c r="C19" s="14" t="s">
        <v>21</v>
      </c>
      <c r="D19" s="14" t="s">
        <v>146</v>
      </c>
      <c r="E19" s="14" t="s">
        <v>110</v>
      </c>
      <c r="F19" s="14" t="s">
        <v>178</v>
      </c>
    </row>
    <row r="20" spans="1:6" ht="19.95" customHeight="1" x14ac:dyDescent="0.3">
      <c r="A20" s="15" t="s">
        <v>15</v>
      </c>
      <c r="B20" s="16">
        <v>4</v>
      </c>
      <c r="C20" s="16">
        <v>4</v>
      </c>
      <c r="D20" s="16">
        <v>0</v>
      </c>
      <c r="E20" s="16">
        <v>0</v>
      </c>
      <c r="F20" s="16" t="s">
        <v>224</v>
      </c>
    </row>
    <row r="21" spans="1:6" ht="19.95" customHeight="1" x14ac:dyDescent="0.3">
      <c r="A21" s="17" t="s">
        <v>44</v>
      </c>
      <c r="B21" s="18">
        <v>4</v>
      </c>
      <c r="C21" s="18">
        <v>4</v>
      </c>
      <c r="D21" s="18">
        <v>0</v>
      </c>
      <c r="E21" s="18">
        <v>0</v>
      </c>
      <c r="F21" s="18" t="s">
        <v>224</v>
      </c>
    </row>
    <row r="22" spans="1:6" ht="19.95" customHeight="1" x14ac:dyDescent="0.3">
      <c r="A22" s="15" t="s">
        <v>68</v>
      </c>
      <c r="B22" s="16">
        <v>3</v>
      </c>
      <c r="C22" s="16">
        <v>3</v>
      </c>
      <c r="D22" s="16">
        <v>0</v>
      </c>
      <c r="E22" s="16">
        <v>0</v>
      </c>
      <c r="F22" s="16" t="s">
        <v>224</v>
      </c>
    </row>
    <row r="23" spans="1:6" ht="19.95" customHeight="1" x14ac:dyDescent="0.3">
      <c r="A23" s="17" t="s">
        <v>87</v>
      </c>
      <c r="B23" s="18">
        <v>4</v>
      </c>
      <c r="C23" s="18">
        <v>3</v>
      </c>
      <c r="D23" s="18">
        <v>0</v>
      </c>
      <c r="E23" s="18">
        <v>1</v>
      </c>
      <c r="F23" s="18" t="s">
        <v>225</v>
      </c>
    </row>
    <row r="24" spans="1:6" ht="19.95" customHeight="1" x14ac:dyDescent="0.3">
      <c r="A24" s="15" t="s">
        <v>114</v>
      </c>
      <c r="B24" s="16">
        <v>3</v>
      </c>
      <c r="C24" s="16">
        <v>3</v>
      </c>
      <c r="D24" s="16">
        <v>0</v>
      </c>
      <c r="E24" s="16">
        <v>0</v>
      </c>
      <c r="F24" s="16" t="s">
        <v>224</v>
      </c>
    </row>
    <row r="25" spans="1:6" ht="19.95" customHeight="1" x14ac:dyDescent="0.3">
      <c r="A25" s="17" t="s">
        <v>134</v>
      </c>
      <c r="B25" s="18">
        <v>3</v>
      </c>
      <c r="C25" s="18">
        <v>2</v>
      </c>
      <c r="D25" s="18">
        <v>1</v>
      </c>
      <c r="E25" s="18">
        <v>0</v>
      </c>
      <c r="F25" s="18" t="s">
        <v>226</v>
      </c>
    </row>
    <row r="26" spans="1:6" ht="19.95" customHeight="1" x14ac:dyDescent="0.3">
      <c r="A26" s="15" t="s">
        <v>227</v>
      </c>
      <c r="B26" s="16">
        <v>3</v>
      </c>
      <c r="C26" s="16">
        <v>3</v>
      </c>
      <c r="D26" s="16">
        <v>0</v>
      </c>
      <c r="E26" s="16">
        <v>0</v>
      </c>
      <c r="F26" s="16" t="s">
        <v>224</v>
      </c>
    </row>
  </sheetData>
  <mergeCells count="2"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 Report</vt:lpstr>
      <vt:lpstr>Test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Omar Khan</cp:lastModifiedBy>
  <dcterms:created xsi:type="dcterms:W3CDTF">2026-03-05T09:03:25Z</dcterms:created>
  <dcterms:modified xsi:type="dcterms:W3CDTF">2026-03-05T10:02:16Z</dcterms:modified>
</cp:coreProperties>
</file>